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ko\Desktop\符石数值计算工具\"/>
    </mc:Choice>
  </mc:AlternateContent>
  <xr:revisionPtr revIDLastSave="0" documentId="13_ncr:1_{8E3B79AB-C16F-4CAA-81A5-56D21EA5E780}" xr6:coauthVersionLast="47" xr6:coauthVersionMax="47" xr10:uidLastSave="{00000000-0000-0000-0000-000000000000}"/>
  <bookViews>
    <workbookView xWindow="0" yWindow="1695" windowWidth="21510" windowHeight="13230" xr2:uid="{00000000-000D-0000-FFFF-FFFF00000000}"/>
  </bookViews>
  <sheets>
    <sheet name="Sheet1" sheetId="2" r:id="rId1"/>
    <sheet name="DB" sheetId="1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1" l="1"/>
  <c r="O20" i="1"/>
  <c r="O21" i="1"/>
  <c r="O19" i="1"/>
  <c r="K21" i="1"/>
  <c r="K20" i="1"/>
  <c r="K22" i="1" l="1"/>
  <c r="O22" i="1"/>
</calcChain>
</file>

<file path=xl/sharedStrings.xml><?xml version="1.0" encoding="utf-8"?>
<sst xmlns="http://schemas.openxmlformats.org/spreadsheetml/2006/main" count="60" uniqueCount="51">
  <si>
    <t>HP</t>
  </si>
  <si>
    <t>腕力</t>
    <phoneticPr fontId="2"/>
  </si>
  <si>
    <t>技力</t>
    <phoneticPr fontId="2"/>
  </si>
  <si>
    <t>魔力</t>
    <phoneticPr fontId="2"/>
  </si>
  <si>
    <t>命中</t>
    <phoneticPr fontId="2"/>
  </si>
  <si>
    <t>物理防御</t>
    <phoneticPr fontId="2"/>
  </si>
  <si>
    <t>魔法防御</t>
    <phoneticPr fontId="2"/>
  </si>
  <si>
    <t>回避</t>
    <phoneticPr fontId="2"/>
  </si>
  <si>
    <t>耐久力</t>
    <phoneticPr fontId="2"/>
  </si>
  <si>
    <t>弱体耐性</t>
    <phoneticPr fontId="2"/>
  </si>
  <si>
    <t>LV</t>
    <phoneticPr fontId="2"/>
  </si>
  <si>
    <t>合計</t>
    <rPh sb="0" eb="2">
      <t>ゴウケイ</t>
    </rPh>
    <phoneticPr fontId="2"/>
  </si>
  <si>
    <t>ルーン1</t>
    <phoneticPr fontId="2"/>
  </si>
  <si>
    <t>ルーン2</t>
    <phoneticPr fontId="2"/>
  </si>
  <si>
    <t>ルーン3</t>
    <phoneticPr fontId="2"/>
  </si>
  <si>
    <t>攻撃力</t>
    <rPh sb="0" eb="3">
      <t>コウゲキリョク</t>
    </rPh>
    <phoneticPr fontId="2"/>
  </si>
  <si>
    <t>クリティ</t>
    <phoneticPr fontId="2"/>
  </si>
  <si>
    <t>クリ耐性</t>
    <rPh sb="2" eb="4">
      <t>タイセイ</t>
    </rPh>
    <phoneticPr fontId="2"/>
  </si>
  <si>
    <t>弱体命中</t>
    <rPh sb="0" eb="4">
      <t>ジャクタイメイチュウ</t>
    </rPh>
    <phoneticPr fontId="2"/>
  </si>
  <si>
    <t>貫通</t>
    <rPh sb="0" eb="2">
      <t>カンツウ</t>
    </rPh>
    <phoneticPr fontId="2"/>
  </si>
  <si>
    <t>スピード</t>
    <phoneticPr fontId="2"/>
  </si>
  <si>
    <t>チケット</t>
    <phoneticPr fontId="2"/>
  </si>
  <si>
    <r>
      <t xml:space="preserve">Lv 1 </t>
    </r>
    <r>
      <rPr>
        <b/>
        <sz val="11"/>
        <color theme="1"/>
        <rFont val="Yu Gothic"/>
        <family val="3"/>
        <charset val="134"/>
        <scheme val="minor"/>
      </rPr>
      <t>相当</t>
    </r>
    <rPh sb="5" eb="7">
      <t>ソウトウ</t>
    </rPh>
    <phoneticPr fontId="2"/>
  </si>
  <si>
    <t>力量</t>
    <phoneticPr fontId="2"/>
  </si>
  <si>
    <t>弱化命中</t>
    <phoneticPr fontId="2"/>
  </si>
  <si>
    <t>耐力</t>
    <phoneticPr fontId="2"/>
  </si>
  <si>
    <t>生命</t>
    <phoneticPr fontId="2"/>
  </si>
  <si>
    <t>速度</t>
    <phoneticPr fontId="2"/>
  </si>
  <si>
    <t>ルーンの種類</t>
    <rPh sb="4" eb="6">
      <t>シュルイ</t>
    </rPh>
    <phoneticPr fontId="2"/>
  </si>
  <si>
    <t>言語</t>
    <rPh sb="0" eb="2">
      <t>ゲンゴ</t>
    </rPh>
    <phoneticPr fontId="2"/>
  </si>
  <si>
    <t>攻撃力</t>
    <phoneticPr fontId="2"/>
  </si>
  <si>
    <t>暴撃</t>
    <rPh sb="1" eb="2">
      <t>ゲキ</t>
    </rPh>
    <phoneticPr fontId="2"/>
  </si>
  <si>
    <r>
      <t>暴</t>
    </r>
    <r>
      <rPr>
        <sz val="11"/>
        <color theme="1"/>
        <rFont val="Yu Gothic"/>
        <family val="3"/>
        <charset val="134"/>
        <scheme val="minor"/>
      </rPr>
      <t>撃抗性</t>
    </r>
    <rPh sb="1" eb="2">
      <t>ゲキ</t>
    </rPh>
    <rPh sb="2" eb="3">
      <t>コウ</t>
    </rPh>
    <rPh sb="3" eb="4">
      <t>セイ</t>
    </rPh>
    <phoneticPr fontId="2"/>
  </si>
  <si>
    <t>弱化耐性</t>
    <rPh sb="2" eb="3">
      <t>タイ</t>
    </rPh>
    <phoneticPr fontId="2"/>
  </si>
  <si>
    <t>戦技</t>
    <rPh sb="0" eb="1">
      <t>セン</t>
    </rPh>
    <phoneticPr fontId="2"/>
  </si>
  <si>
    <t>閃避</t>
    <rPh sb="0" eb="1">
      <t>セン</t>
    </rPh>
    <rPh sb="1" eb="2">
      <t>ヒ</t>
    </rPh>
    <phoneticPr fontId="2"/>
  </si>
  <si>
    <t>防御穿透</t>
    <rPh sb="3" eb="4">
      <t>トウ</t>
    </rPh>
    <phoneticPr fontId="2"/>
  </si>
  <si>
    <t>プランA</t>
    <phoneticPr fontId="2"/>
  </si>
  <si>
    <t>プランB</t>
    <phoneticPr fontId="2"/>
  </si>
  <si>
    <t>ルーン１</t>
    <phoneticPr fontId="2"/>
  </si>
  <si>
    <t>ルーン２</t>
    <phoneticPr fontId="2"/>
  </si>
  <si>
    <t>ルーン３</t>
    <phoneticPr fontId="2"/>
  </si>
  <si>
    <t>方案1</t>
    <phoneticPr fontId="2"/>
  </si>
  <si>
    <t>方案2</t>
    <phoneticPr fontId="2"/>
  </si>
  <si>
    <t>符石1</t>
    <phoneticPr fontId="2"/>
  </si>
  <si>
    <t>符石2</t>
    <phoneticPr fontId="2"/>
  </si>
  <si>
    <t>符石3</t>
    <phoneticPr fontId="2"/>
  </si>
  <si>
    <r>
      <t>符石数</t>
    </r>
    <r>
      <rPr>
        <sz val="11"/>
        <color theme="1"/>
        <rFont val="Yu Gothic"/>
        <family val="3"/>
        <charset val="129"/>
        <scheme val="minor"/>
      </rPr>
      <t>値計算工具（by 春巻）</t>
    </r>
    <rPh sb="3" eb="4">
      <t>アタイ</t>
    </rPh>
    <rPh sb="4" eb="5">
      <t>ケイ</t>
    </rPh>
    <rPh sb="13" eb="14">
      <t>マキ</t>
    </rPh>
    <phoneticPr fontId="2"/>
  </si>
  <si>
    <t>符石種類</t>
    <rPh sb="2" eb="4">
      <t>シュルイ</t>
    </rPh>
    <phoneticPr fontId="2"/>
  </si>
  <si>
    <t>ルーン数値計算ツール（by 春巻き）</t>
    <phoneticPr fontId="2"/>
  </si>
  <si>
    <t>CN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</si>
</sst>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3">
    <font>
      <sz val="11"/>
      <color theme="1"/>
      <name val="Yu Gothic"/>
      <family val="2"/>
      <scheme val="minor"/>
    </font>
    <font>
      <b/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34"/>
      <scheme val="minor"/>
    </font>
    <font>
      <b/>
      <sz val="11"/>
      <color theme="1"/>
      <name val="Yu Gothic"/>
      <family val="2"/>
      <scheme val="minor"/>
    </font>
    <font>
      <sz val="11"/>
      <color theme="1"/>
      <name val="UD Digi Kyokasho N-B"/>
      <family val="1"/>
      <charset val="128"/>
    </font>
    <font>
      <sz val="11"/>
      <name val="UD Digi Kyokasho N-B"/>
      <family val="1"/>
      <charset val="128"/>
    </font>
    <font>
      <sz val="11"/>
      <color theme="0"/>
      <name val="UD Digi Kyokasho N-B"/>
      <family val="1"/>
      <charset val="128"/>
    </font>
    <font>
      <b/>
      <sz val="11"/>
      <color theme="1"/>
      <name val="UD Digi Kyokasho N-B"/>
      <family val="1"/>
      <charset val="128"/>
    </font>
    <font>
      <b/>
      <sz val="11"/>
      <color theme="0"/>
      <name val="UD Digi Kyokasho N-B"/>
      <family val="1"/>
      <charset val="128"/>
    </font>
    <font>
      <b/>
      <sz val="11"/>
      <name val="UD Digi Kyokasho N-B"/>
      <family val="1"/>
      <charset val="128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thin">
        <color theme="0"/>
      </right>
      <top style="dashed">
        <color auto="1"/>
      </top>
      <bottom style="dashed">
        <color auto="1"/>
      </bottom>
      <diagonal/>
    </border>
    <border>
      <left style="hair">
        <color theme="0"/>
      </left>
      <right style="hair">
        <color theme="0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theme="0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hair">
        <color theme="0"/>
      </right>
      <top style="dashed">
        <color auto="1"/>
      </top>
      <bottom style="dashed">
        <color auto="1"/>
      </bottom>
      <diagonal/>
    </border>
    <border>
      <left style="hair">
        <color theme="0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theme="0"/>
      </right>
      <top style="dashed">
        <color auto="1"/>
      </top>
      <bottom style="double">
        <color auto="1"/>
      </bottom>
      <diagonal/>
    </border>
    <border>
      <left style="hair">
        <color theme="0"/>
      </left>
      <right style="hair">
        <color theme="0"/>
      </right>
      <top style="dashed">
        <color auto="1"/>
      </top>
      <bottom style="double">
        <color auto="1"/>
      </bottom>
      <diagonal/>
    </border>
    <border>
      <left style="hair">
        <color theme="0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/>
      <bottom/>
      <diagonal/>
    </border>
    <border>
      <left style="hair">
        <color theme="0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1" fillId="0" borderId="5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8" fillId="0" borderId="4" xfId="0" applyFont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9" borderId="7" xfId="0" applyFont="1" applyFill="1" applyBorder="1" applyAlignment="1">
      <alignment horizontal="center"/>
    </xf>
    <xf numFmtId="0" fontId="9" fillId="10" borderId="9" xfId="0" applyFont="1" applyFill="1" applyBorder="1" applyAlignment="1">
      <alignment horizontal="center"/>
    </xf>
    <xf numFmtId="0" fontId="9" fillId="11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8" fillId="12" borderId="7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/>
    </xf>
    <xf numFmtId="0" fontId="9" fillId="15" borderId="11" xfId="0" applyFont="1" applyFill="1" applyBorder="1" applyAlignment="1">
      <alignment horizontal="center"/>
    </xf>
    <xf numFmtId="176" fontId="5" fillId="7" borderId="1" xfId="0" applyNumberFormat="1" applyFont="1" applyFill="1" applyBorder="1" applyAlignment="1">
      <alignment horizontal="right" shrinkToFit="1"/>
    </xf>
    <xf numFmtId="176" fontId="5" fillId="7" borderId="8" xfId="0" applyNumberFormat="1" applyFont="1" applyFill="1" applyBorder="1" applyAlignment="1">
      <alignment horizontal="right" shrinkToFit="1"/>
    </xf>
    <xf numFmtId="176" fontId="5" fillId="8" borderId="1" xfId="0" applyNumberFormat="1" applyFont="1" applyFill="1" applyBorder="1" applyAlignment="1">
      <alignment horizontal="right" shrinkToFit="1"/>
    </xf>
    <xf numFmtId="176" fontId="5" fillId="8" borderId="8" xfId="0" applyNumberFormat="1" applyFont="1" applyFill="1" applyBorder="1" applyAlignment="1">
      <alignment horizontal="right" shrinkToFit="1"/>
    </xf>
    <xf numFmtId="176" fontId="6" fillId="9" borderId="1" xfId="0" applyNumberFormat="1" applyFont="1" applyFill="1" applyBorder="1" applyAlignment="1">
      <alignment horizontal="right" shrinkToFit="1"/>
    </xf>
    <xf numFmtId="176" fontId="6" fillId="9" borderId="8" xfId="0" applyNumberFormat="1" applyFont="1" applyFill="1" applyBorder="1" applyAlignment="1">
      <alignment horizontal="right" shrinkToFit="1"/>
    </xf>
    <xf numFmtId="176" fontId="7" fillId="10" borderId="2" xfId="0" applyNumberFormat="1" applyFont="1" applyFill="1" applyBorder="1" applyAlignment="1">
      <alignment horizontal="right" shrinkToFit="1"/>
    </xf>
    <xf numFmtId="176" fontId="7" fillId="10" borderId="10" xfId="0" applyNumberFormat="1" applyFont="1" applyFill="1" applyBorder="1" applyAlignment="1">
      <alignment horizontal="right" shrinkToFit="1"/>
    </xf>
    <xf numFmtId="176" fontId="7" fillId="11" borderId="2" xfId="0" applyNumberFormat="1" applyFont="1" applyFill="1" applyBorder="1" applyAlignment="1">
      <alignment horizontal="right" shrinkToFit="1"/>
    </xf>
    <xf numFmtId="176" fontId="7" fillId="11" borderId="10" xfId="0" applyNumberFormat="1" applyFont="1" applyFill="1" applyBorder="1" applyAlignment="1">
      <alignment horizontal="right" shrinkToFit="1"/>
    </xf>
    <xf numFmtId="176" fontId="5" fillId="2" borderId="1" xfId="0" applyNumberFormat="1" applyFont="1" applyFill="1" applyBorder="1" applyAlignment="1">
      <alignment horizontal="right" shrinkToFit="1"/>
    </xf>
    <xf numFmtId="176" fontId="5" fillId="2" borderId="8" xfId="0" applyNumberFormat="1" applyFont="1" applyFill="1" applyBorder="1" applyAlignment="1">
      <alignment horizontal="right" shrinkToFit="1"/>
    </xf>
    <xf numFmtId="176" fontId="5" fillId="3" borderId="1" xfId="0" applyNumberFormat="1" applyFont="1" applyFill="1" applyBorder="1" applyAlignment="1">
      <alignment horizontal="right" shrinkToFit="1"/>
    </xf>
    <xf numFmtId="176" fontId="5" fillId="3" borderId="8" xfId="0" applyNumberFormat="1" applyFont="1" applyFill="1" applyBorder="1" applyAlignment="1">
      <alignment horizontal="right" shrinkToFit="1"/>
    </xf>
    <xf numFmtId="176" fontId="7" fillId="4" borderId="2" xfId="0" applyNumberFormat="1" applyFont="1" applyFill="1" applyBorder="1" applyAlignment="1">
      <alignment horizontal="right" shrinkToFit="1"/>
    </xf>
    <xf numFmtId="176" fontId="7" fillId="4" borderId="10" xfId="0" applyNumberFormat="1" applyFont="1" applyFill="1" applyBorder="1" applyAlignment="1">
      <alignment horizontal="right" shrinkToFit="1"/>
    </xf>
    <xf numFmtId="176" fontId="7" fillId="5" borderId="2" xfId="0" applyNumberFormat="1" applyFont="1" applyFill="1" applyBorder="1" applyAlignment="1">
      <alignment horizontal="right" shrinkToFit="1"/>
    </xf>
    <xf numFmtId="176" fontId="7" fillId="5" borderId="10" xfId="0" applyNumberFormat="1" applyFont="1" applyFill="1" applyBorder="1" applyAlignment="1">
      <alignment horizontal="right" shrinkToFit="1"/>
    </xf>
    <xf numFmtId="176" fontId="7" fillId="6" borderId="2" xfId="0" applyNumberFormat="1" applyFont="1" applyFill="1" applyBorder="1" applyAlignment="1">
      <alignment horizontal="right" shrinkToFit="1"/>
    </xf>
    <xf numFmtId="176" fontId="7" fillId="6" borderId="10" xfId="0" applyNumberFormat="1" applyFont="1" applyFill="1" applyBorder="1" applyAlignment="1">
      <alignment horizontal="right" shrinkToFit="1"/>
    </xf>
    <xf numFmtId="176" fontId="5" fillId="12" borderId="1" xfId="0" applyNumberFormat="1" applyFont="1" applyFill="1" applyBorder="1" applyAlignment="1">
      <alignment horizontal="right" shrinkToFit="1"/>
    </xf>
    <xf numFmtId="176" fontId="5" fillId="12" borderId="8" xfId="0" applyNumberFormat="1" applyFont="1" applyFill="1" applyBorder="1" applyAlignment="1">
      <alignment horizontal="right" shrinkToFit="1"/>
    </xf>
    <xf numFmtId="176" fontId="6" fillId="13" borderId="1" xfId="0" applyNumberFormat="1" applyFont="1" applyFill="1" applyBorder="1" applyAlignment="1">
      <alignment horizontal="right" shrinkToFit="1"/>
    </xf>
    <xf numFmtId="176" fontId="6" fillId="13" borderId="8" xfId="0" applyNumberFormat="1" applyFont="1" applyFill="1" applyBorder="1" applyAlignment="1">
      <alignment horizontal="right" shrinkToFit="1"/>
    </xf>
    <xf numFmtId="176" fontId="6" fillId="14" borderId="1" xfId="0" applyNumberFormat="1" applyFont="1" applyFill="1" applyBorder="1" applyAlignment="1">
      <alignment horizontal="right" shrinkToFit="1"/>
    </xf>
    <xf numFmtId="176" fontId="6" fillId="14" borderId="8" xfId="0" applyNumberFormat="1" applyFont="1" applyFill="1" applyBorder="1" applyAlignment="1">
      <alignment horizontal="right" shrinkToFit="1"/>
    </xf>
    <xf numFmtId="176" fontId="7" fillId="15" borderId="3" xfId="0" applyNumberFormat="1" applyFont="1" applyFill="1" applyBorder="1" applyAlignment="1">
      <alignment horizontal="right" shrinkToFit="1"/>
    </xf>
    <xf numFmtId="176" fontId="7" fillId="15" borderId="12" xfId="0" applyNumberFormat="1" applyFont="1" applyFill="1" applyBorder="1" applyAlignment="1">
      <alignment horizontal="right" shrinkToFit="1"/>
    </xf>
    <xf numFmtId="0" fontId="0" fillId="12" borderId="13" xfId="0" applyFill="1" applyBorder="1"/>
    <xf numFmtId="0" fontId="0" fillId="17" borderId="13" xfId="0" applyFill="1" applyBorder="1"/>
    <xf numFmtId="0" fontId="9" fillId="16" borderId="13" xfId="0" applyFont="1" applyFill="1" applyBorder="1"/>
    <xf numFmtId="0" fontId="9" fillId="16" borderId="14" xfId="0" applyFont="1" applyFill="1" applyBorder="1" applyAlignment="1">
      <alignment horizontal="center"/>
    </xf>
    <xf numFmtId="176" fontId="7" fillId="16" borderId="15" xfId="0" applyNumberFormat="1" applyFont="1" applyFill="1" applyBorder="1" applyAlignment="1">
      <alignment horizontal="right" shrinkToFit="1"/>
    </xf>
    <xf numFmtId="176" fontId="7" fillId="16" borderId="16" xfId="0" applyNumberFormat="1" applyFont="1" applyFill="1" applyBorder="1" applyAlignment="1">
      <alignment horizontal="right" shrinkToFit="1"/>
    </xf>
    <xf numFmtId="176" fontId="9" fillId="16" borderId="13" xfId="0" applyNumberFormat="1" applyFont="1" applyFill="1" applyBorder="1"/>
    <xf numFmtId="0" fontId="11" fillId="0" borderId="0" xfId="0" applyFont="1" applyAlignment="1">
      <alignment horizontal="right"/>
    </xf>
    <xf numFmtId="176" fontId="6" fillId="0" borderId="17" xfId="0" applyNumberFormat="1" applyFont="1" applyBorder="1" applyAlignment="1">
      <alignment horizontal="right" shrinkToFit="1"/>
    </xf>
    <xf numFmtId="176" fontId="6" fillId="0" borderId="18" xfId="0" applyNumberFormat="1" applyFont="1" applyBorder="1" applyAlignment="1">
      <alignment horizontal="right" shrinkToFit="1"/>
    </xf>
    <xf numFmtId="176" fontId="6" fillId="0" borderId="19" xfId="0" applyNumberFormat="1" applyFont="1" applyBorder="1" applyAlignment="1">
      <alignment horizontal="right" shrinkToFit="1"/>
    </xf>
    <xf numFmtId="0" fontId="0" fillId="18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9900CC"/>
      <color rgb="FFFFCCFF"/>
      <color rgb="FFCC66FF"/>
      <color rgb="FFCC00CC"/>
      <color rgb="FFCC00FF"/>
      <color rgb="FFFF00FF"/>
      <color rgb="FFFF66FF"/>
      <color rgb="FFFF99FF"/>
      <color rgb="FF3333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023F3-5D76-422E-84B7-DEB05C7613EF}">
  <sheetPr codeName="Sheet2"/>
  <dimension ref="A1"/>
  <sheetViews>
    <sheetView tabSelected="1" workbookViewId="0"/>
  </sheetViews>
  <sheetFormatPr defaultRowHeight="18.75"/>
  <cols>
    <col min="1" max="16384" width="9" style="59"/>
  </cols>
  <sheetData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X24"/>
  <sheetViews>
    <sheetView topLeftCell="F7" workbookViewId="0"/>
  </sheetViews>
  <sheetFormatPr defaultRowHeight="18.75"/>
  <cols>
    <col min="1" max="1" width="2.5" customWidth="1"/>
    <col min="2" max="2" width="2.375" customWidth="1"/>
    <col min="3" max="3" width="9.375" customWidth="1"/>
  </cols>
  <sheetData>
    <row r="1" spans="3:24" ht="19.5" thickBot="1">
      <c r="C1" s="1"/>
      <c r="D1" s="1"/>
      <c r="E1" s="1"/>
      <c r="F1" s="1"/>
      <c r="G1" s="1"/>
      <c r="H1" s="1"/>
      <c r="I1" s="1"/>
      <c r="J1" s="5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3:24" ht="19.5" thickTop="1">
      <c r="C2" s="5" t="s">
        <v>10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3">
        <v>13</v>
      </c>
      <c r="Q2" s="2">
        <v>14</v>
      </c>
      <c r="R2" s="2">
        <v>15</v>
      </c>
      <c r="S2" s="2">
        <v>16</v>
      </c>
      <c r="T2" s="2" t="s">
        <v>21</v>
      </c>
      <c r="U2" s="4" t="s">
        <v>22</v>
      </c>
      <c r="V2" s="56">
        <v>1</v>
      </c>
      <c r="W2" s="1" t="s">
        <v>4</v>
      </c>
      <c r="X2" t="s">
        <v>4</v>
      </c>
    </row>
    <row r="3" spans="3:24">
      <c r="C3" s="6">
        <v>1</v>
      </c>
      <c r="D3" s="20">
        <v>260</v>
      </c>
      <c r="E3" s="20">
        <v>240</v>
      </c>
      <c r="F3" s="20">
        <v>60</v>
      </c>
      <c r="G3" s="20">
        <v>60</v>
      </c>
      <c r="H3" s="20">
        <v>260</v>
      </c>
      <c r="I3" s="20">
        <v>260</v>
      </c>
      <c r="J3" s="20">
        <v>60</v>
      </c>
      <c r="K3" s="20">
        <v>260</v>
      </c>
      <c r="L3" s="20">
        <v>1000</v>
      </c>
      <c r="M3" s="20">
        <v>40</v>
      </c>
      <c r="N3" s="20">
        <v>60</v>
      </c>
      <c r="O3" s="20">
        <v>40</v>
      </c>
      <c r="P3" s="20">
        <v>25</v>
      </c>
      <c r="Q3" s="20">
        <v>10</v>
      </c>
      <c r="R3" s="20">
        <v>35</v>
      </c>
      <c r="S3" s="20">
        <v>60</v>
      </c>
      <c r="T3" s="20">
        <v>2</v>
      </c>
      <c r="U3" s="21">
        <v>1</v>
      </c>
      <c r="V3" s="56">
        <v>2</v>
      </c>
      <c r="W3" s="1" t="s">
        <v>30</v>
      </c>
      <c r="X3" t="s">
        <v>15</v>
      </c>
    </row>
    <row r="4" spans="3:24">
      <c r="C4" s="7">
        <v>2</v>
      </c>
      <c r="D4" s="22">
        <v>500</v>
      </c>
      <c r="E4" s="22">
        <v>440</v>
      </c>
      <c r="F4" s="22">
        <v>100</v>
      </c>
      <c r="G4" s="22">
        <v>100</v>
      </c>
      <c r="H4" s="22">
        <v>500</v>
      </c>
      <c r="I4" s="22">
        <v>500</v>
      </c>
      <c r="J4" s="22">
        <v>100</v>
      </c>
      <c r="K4" s="22">
        <v>500</v>
      </c>
      <c r="L4" s="22">
        <v>1830</v>
      </c>
      <c r="M4" s="22">
        <v>60</v>
      </c>
      <c r="N4" s="22">
        <v>100</v>
      </c>
      <c r="O4" s="22">
        <v>60</v>
      </c>
      <c r="P4" s="22">
        <v>45</v>
      </c>
      <c r="Q4" s="22">
        <v>18</v>
      </c>
      <c r="R4" s="22">
        <v>60</v>
      </c>
      <c r="S4" s="22">
        <v>100</v>
      </c>
      <c r="T4" s="22">
        <v>4</v>
      </c>
      <c r="U4" s="23">
        <v>2</v>
      </c>
      <c r="V4" s="56">
        <v>3</v>
      </c>
      <c r="W4" s="1" t="s">
        <v>31</v>
      </c>
      <c r="X4" t="s">
        <v>16</v>
      </c>
    </row>
    <row r="5" spans="3:24">
      <c r="C5" s="8">
        <v>3</v>
      </c>
      <c r="D5" s="24">
        <v>970</v>
      </c>
      <c r="E5" s="24">
        <v>810</v>
      </c>
      <c r="F5" s="24">
        <v>190</v>
      </c>
      <c r="G5" s="24">
        <v>190</v>
      </c>
      <c r="H5" s="24">
        <v>970</v>
      </c>
      <c r="I5" s="24">
        <v>970</v>
      </c>
      <c r="J5" s="24">
        <v>180</v>
      </c>
      <c r="K5" s="24">
        <v>970</v>
      </c>
      <c r="L5" s="24">
        <v>3340</v>
      </c>
      <c r="M5" s="24">
        <v>110</v>
      </c>
      <c r="N5" s="24">
        <v>180</v>
      </c>
      <c r="O5" s="24">
        <v>110</v>
      </c>
      <c r="P5" s="24">
        <v>80</v>
      </c>
      <c r="Q5" s="24">
        <v>33</v>
      </c>
      <c r="R5" s="24">
        <v>90</v>
      </c>
      <c r="S5" s="24">
        <v>180</v>
      </c>
      <c r="T5" s="24">
        <v>8</v>
      </c>
      <c r="U5" s="25">
        <v>4</v>
      </c>
      <c r="V5" s="56">
        <v>4</v>
      </c>
      <c r="W5" s="1" t="s">
        <v>32</v>
      </c>
      <c r="X5" t="s">
        <v>17</v>
      </c>
    </row>
    <row r="6" spans="3:24">
      <c r="C6" s="9">
        <v>4</v>
      </c>
      <c r="D6" s="26">
        <v>1900</v>
      </c>
      <c r="E6" s="26">
        <v>1480</v>
      </c>
      <c r="F6" s="26">
        <v>370</v>
      </c>
      <c r="G6" s="26">
        <v>370</v>
      </c>
      <c r="H6" s="26">
        <v>1900</v>
      </c>
      <c r="I6" s="26">
        <v>1900</v>
      </c>
      <c r="J6" s="26">
        <v>330</v>
      </c>
      <c r="K6" s="26">
        <v>1900</v>
      </c>
      <c r="L6" s="26">
        <v>6110</v>
      </c>
      <c r="M6" s="26">
        <v>200</v>
      </c>
      <c r="N6" s="26">
        <v>330</v>
      </c>
      <c r="O6" s="26">
        <v>200</v>
      </c>
      <c r="P6" s="26">
        <v>140</v>
      </c>
      <c r="Q6" s="26">
        <v>53</v>
      </c>
      <c r="R6" s="26">
        <v>150</v>
      </c>
      <c r="S6" s="26">
        <v>330</v>
      </c>
      <c r="T6" s="26">
        <v>16</v>
      </c>
      <c r="U6" s="27">
        <v>8</v>
      </c>
      <c r="V6" s="57">
        <v>5</v>
      </c>
      <c r="W6" s="1" t="s">
        <v>24</v>
      </c>
      <c r="X6" t="s">
        <v>18</v>
      </c>
    </row>
    <row r="7" spans="3:24">
      <c r="C7" s="10">
        <v>5</v>
      </c>
      <c r="D7" s="28">
        <v>3770</v>
      </c>
      <c r="E7" s="28">
        <v>2710</v>
      </c>
      <c r="F7" s="28">
        <v>730</v>
      </c>
      <c r="G7" s="28">
        <v>730</v>
      </c>
      <c r="H7" s="28">
        <v>3770</v>
      </c>
      <c r="I7" s="28">
        <v>3770</v>
      </c>
      <c r="J7" s="28">
        <v>620</v>
      </c>
      <c r="K7" s="28">
        <v>3770</v>
      </c>
      <c r="L7" s="28">
        <v>11100</v>
      </c>
      <c r="M7" s="28">
        <v>370</v>
      </c>
      <c r="N7" s="28">
        <v>620</v>
      </c>
      <c r="O7" s="28">
        <v>370</v>
      </c>
      <c r="P7" s="28">
        <v>250</v>
      </c>
      <c r="Q7" s="28">
        <v>80</v>
      </c>
      <c r="R7" s="28">
        <v>270</v>
      </c>
      <c r="S7" s="28">
        <v>620</v>
      </c>
      <c r="T7" s="28">
        <v>32</v>
      </c>
      <c r="U7" s="29">
        <v>16</v>
      </c>
      <c r="V7" s="57">
        <v>6</v>
      </c>
      <c r="W7" s="1" t="s">
        <v>33</v>
      </c>
      <c r="X7" t="s">
        <v>9</v>
      </c>
    </row>
    <row r="8" spans="3:24">
      <c r="C8" s="11">
        <v>6</v>
      </c>
      <c r="D8" s="30">
        <v>7500</v>
      </c>
      <c r="E8" s="30">
        <v>4950</v>
      </c>
      <c r="F8" s="30">
        <v>1450</v>
      </c>
      <c r="G8" s="30">
        <v>1450</v>
      </c>
      <c r="H8" s="30">
        <v>7500</v>
      </c>
      <c r="I8" s="30">
        <v>7500</v>
      </c>
      <c r="J8" s="30">
        <v>1130</v>
      </c>
      <c r="K8" s="30">
        <v>7500</v>
      </c>
      <c r="L8" s="30">
        <v>20400</v>
      </c>
      <c r="M8" s="30">
        <v>680</v>
      </c>
      <c r="N8" s="30">
        <v>1130</v>
      </c>
      <c r="O8" s="30">
        <v>680</v>
      </c>
      <c r="P8" s="30">
        <v>430</v>
      </c>
      <c r="Q8" s="30">
        <v>110</v>
      </c>
      <c r="R8" s="30">
        <v>510</v>
      </c>
      <c r="S8" s="30">
        <v>1130</v>
      </c>
      <c r="T8" s="30">
        <v>64</v>
      </c>
      <c r="U8" s="31">
        <v>32</v>
      </c>
      <c r="V8" s="56">
        <v>7</v>
      </c>
      <c r="W8" s="55" t="s">
        <v>34</v>
      </c>
      <c r="X8" t="s">
        <v>2</v>
      </c>
    </row>
    <row r="9" spans="3:24">
      <c r="C9" s="12">
        <v>7</v>
      </c>
      <c r="D9" s="32">
        <v>14900</v>
      </c>
      <c r="E9" s="32">
        <v>9050</v>
      </c>
      <c r="F9" s="32">
        <v>2890</v>
      </c>
      <c r="G9" s="32">
        <v>2890</v>
      </c>
      <c r="H9" s="32">
        <v>14900</v>
      </c>
      <c r="I9" s="32">
        <v>14900</v>
      </c>
      <c r="J9" s="32">
        <v>2070</v>
      </c>
      <c r="K9" s="32">
        <v>14900</v>
      </c>
      <c r="L9" s="32">
        <v>37300</v>
      </c>
      <c r="M9" s="32">
        <v>1240</v>
      </c>
      <c r="N9" s="32">
        <v>2070</v>
      </c>
      <c r="O9" s="32">
        <v>1240</v>
      </c>
      <c r="P9" s="32">
        <v>750</v>
      </c>
      <c r="Q9" s="32">
        <v>150</v>
      </c>
      <c r="R9" s="32">
        <v>930</v>
      </c>
      <c r="S9" s="32">
        <v>2070</v>
      </c>
      <c r="T9" s="32">
        <v>128</v>
      </c>
      <c r="U9" s="33">
        <v>64</v>
      </c>
      <c r="V9" s="56">
        <v>8</v>
      </c>
      <c r="W9" s="1" t="s">
        <v>35</v>
      </c>
      <c r="X9" t="s">
        <v>7</v>
      </c>
    </row>
    <row r="10" spans="3:24">
      <c r="C10" s="13">
        <v>8</v>
      </c>
      <c r="D10" s="34">
        <v>29700</v>
      </c>
      <c r="E10" s="34">
        <v>16500</v>
      </c>
      <c r="F10" s="34">
        <v>5770</v>
      </c>
      <c r="G10" s="34">
        <v>5770</v>
      </c>
      <c r="H10" s="34">
        <v>29700</v>
      </c>
      <c r="I10" s="34">
        <v>29700</v>
      </c>
      <c r="J10" s="34">
        <v>3800</v>
      </c>
      <c r="K10" s="34">
        <v>29700</v>
      </c>
      <c r="L10" s="34">
        <v>68300</v>
      </c>
      <c r="M10" s="34">
        <v>2270</v>
      </c>
      <c r="N10" s="34">
        <v>3800</v>
      </c>
      <c r="O10" s="34">
        <v>2270</v>
      </c>
      <c r="P10" s="34">
        <v>1300</v>
      </c>
      <c r="Q10" s="34">
        <v>195</v>
      </c>
      <c r="R10" s="34">
        <v>1700</v>
      </c>
      <c r="S10" s="34">
        <v>3800</v>
      </c>
      <c r="T10" s="34">
        <v>256</v>
      </c>
      <c r="U10" s="35">
        <v>128</v>
      </c>
      <c r="V10" s="57">
        <v>9</v>
      </c>
      <c r="W10" s="1" t="s">
        <v>26</v>
      </c>
      <c r="X10" t="s">
        <v>0</v>
      </c>
    </row>
    <row r="11" spans="3:24">
      <c r="C11" s="14">
        <v>9</v>
      </c>
      <c r="D11" s="36">
        <v>59300</v>
      </c>
      <c r="E11" s="36">
        <v>30200</v>
      </c>
      <c r="F11" s="36">
        <v>11500</v>
      </c>
      <c r="G11" s="36">
        <v>11500</v>
      </c>
      <c r="H11" s="36">
        <v>59300</v>
      </c>
      <c r="I11" s="36">
        <v>59300</v>
      </c>
      <c r="J11" s="36">
        <v>6930</v>
      </c>
      <c r="K11" s="36">
        <v>59300</v>
      </c>
      <c r="L11" s="36">
        <v>124000</v>
      </c>
      <c r="M11" s="36">
        <v>4160</v>
      </c>
      <c r="N11" s="36">
        <v>6930</v>
      </c>
      <c r="O11" s="36">
        <v>4160</v>
      </c>
      <c r="P11" s="36">
        <v>2200</v>
      </c>
      <c r="Q11" s="36">
        <v>240</v>
      </c>
      <c r="R11" s="36">
        <v>3120</v>
      </c>
      <c r="S11" s="36">
        <v>6930</v>
      </c>
      <c r="T11" s="36">
        <v>512</v>
      </c>
      <c r="U11" s="37">
        <v>256</v>
      </c>
      <c r="V11" s="57">
        <v>10</v>
      </c>
      <c r="W11" s="1" t="s">
        <v>6</v>
      </c>
      <c r="X11" t="s">
        <v>6</v>
      </c>
    </row>
    <row r="12" spans="3:24">
      <c r="C12" s="15">
        <v>10</v>
      </c>
      <c r="D12" s="38">
        <v>118000</v>
      </c>
      <c r="E12" s="38">
        <v>55300</v>
      </c>
      <c r="F12" s="38">
        <v>22900</v>
      </c>
      <c r="G12" s="38">
        <v>22900</v>
      </c>
      <c r="H12" s="38">
        <v>118000</v>
      </c>
      <c r="I12" s="38">
        <v>118000</v>
      </c>
      <c r="J12" s="38">
        <v>12600</v>
      </c>
      <c r="K12" s="38">
        <v>118000</v>
      </c>
      <c r="L12" s="38">
        <v>228000</v>
      </c>
      <c r="M12" s="38">
        <v>7600</v>
      </c>
      <c r="N12" s="38">
        <v>12600</v>
      </c>
      <c r="O12" s="38">
        <v>7600</v>
      </c>
      <c r="P12" s="38">
        <v>3710</v>
      </c>
      <c r="Q12" s="38">
        <v>300</v>
      </c>
      <c r="R12" s="38">
        <v>5700</v>
      </c>
      <c r="S12" s="38">
        <v>12600</v>
      </c>
      <c r="T12" s="38">
        <v>1024</v>
      </c>
      <c r="U12" s="39">
        <v>512</v>
      </c>
      <c r="V12" s="57">
        <v>11</v>
      </c>
      <c r="W12" s="1" t="s">
        <v>3</v>
      </c>
      <c r="X12" t="s">
        <v>3</v>
      </c>
    </row>
    <row r="13" spans="3:24">
      <c r="C13" s="16">
        <v>11</v>
      </c>
      <c r="D13" s="40">
        <v>235000</v>
      </c>
      <c r="E13" s="40">
        <v>101000</v>
      </c>
      <c r="F13" s="40">
        <v>45700</v>
      </c>
      <c r="G13" s="40">
        <v>45700</v>
      </c>
      <c r="H13" s="40">
        <v>235000</v>
      </c>
      <c r="I13" s="40">
        <v>235000</v>
      </c>
      <c r="J13" s="40">
        <v>23100</v>
      </c>
      <c r="K13" s="40">
        <v>235000</v>
      </c>
      <c r="L13" s="40">
        <v>417000</v>
      </c>
      <c r="M13" s="40">
        <v>13900</v>
      </c>
      <c r="N13" s="40">
        <v>23100</v>
      </c>
      <c r="O13" s="40">
        <v>13900</v>
      </c>
      <c r="P13" s="40">
        <v>6250</v>
      </c>
      <c r="Q13" s="40">
        <v>360</v>
      </c>
      <c r="R13" s="40">
        <v>10400</v>
      </c>
      <c r="S13" s="40">
        <v>23100</v>
      </c>
      <c r="T13" s="40">
        <v>2048</v>
      </c>
      <c r="U13" s="41">
        <v>1024</v>
      </c>
      <c r="V13" s="56">
        <v>12</v>
      </c>
      <c r="W13" s="1" t="s">
        <v>5</v>
      </c>
      <c r="X13" t="s">
        <v>5</v>
      </c>
    </row>
    <row r="14" spans="3:24">
      <c r="C14" s="17">
        <v>12</v>
      </c>
      <c r="D14" s="42">
        <v>463000</v>
      </c>
      <c r="E14" s="42">
        <v>184000</v>
      </c>
      <c r="F14" s="42">
        <v>91300</v>
      </c>
      <c r="G14" s="42">
        <v>91300</v>
      </c>
      <c r="H14" s="42">
        <v>463000</v>
      </c>
      <c r="I14" s="42">
        <v>463000</v>
      </c>
      <c r="J14" s="42">
        <v>42300</v>
      </c>
      <c r="K14" s="42">
        <v>463000</v>
      </c>
      <c r="L14" s="42">
        <v>762000</v>
      </c>
      <c r="M14" s="42">
        <v>25400</v>
      </c>
      <c r="N14" s="42">
        <v>42300</v>
      </c>
      <c r="O14" s="42">
        <v>25400</v>
      </c>
      <c r="P14" s="42">
        <v>10400</v>
      </c>
      <c r="Q14" s="42">
        <v>425</v>
      </c>
      <c r="R14" s="42">
        <v>19000</v>
      </c>
      <c r="S14" s="42">
        <v>42300</v>
      </c>
      <c r="T14" s="42">
        <v>4096</v>
      </c>
      <c r="U14" s="43">
        <v>2048</v>
      </c>
      <c r="V14" s="56">
        <v>13</v>
      </c>
      <c r="W14" s="1" t="s">
        <v>36</v>
      </c>
      <c r="X14" t="s">
        <v>19</v>
      </c>
    </row>
    <row r="15" spans="3:24">
      <c r="C15" s="18">
        <v>13</v>
      </c>
      <c r="D15" s="44">
        <v>835000</v>
      </c>
      <c r="E15" s="44">
        <v>338000</v>
      </c>
      <c r="F15" s="44">
        <v>167000</v>
      </c>
      <c r="G15" s="44">
        <v>167000</v>
      </c>
      <c r="H15" s="44">
        <v>835000</v>
      </c>
      <c r="I15" s="44">
        <v>835000</v>
      </c>
      <c r="J15" s="44">
        <v>77400</v>
      </c>
      <c r="K15" s="44">
        <v>835000</v>
      </c>
      <c r="L15" s="44">
        <v>1390000</v>
      </c>
      <c r="M15" s="44">
        <v>46400</v>
      </c>
      <c r="N15" s="44">
        <v>77400</v>
      </c>
      <c r="O15" s="44">
        <v>46400</v>
      </c>
      <c r="P15" s="44">
        <v>15900</v>
      </c>
      <c r="Q15" s="44">
        <v>500</v>
      </c>
      <c r="R15" s="44">
        <v>34800</v>
      </c>
      <c r="S15" s="44">
        <v>77400</v>
      </c>
      <c r="T15" s="44">
        <v>8192</v>
      </c>
      <c r="U15" s="45">
        <v>4096</v>
      </c>
      <c r="V15" s="56">
        <v>14</v>
      </c>
      <c r="W15" s="1" t="s">
        <v>27</v>
      </c>
      <c r="X15" t="s">
        <v>20</v>
      </c>
    </row>
    <row r="16" spans="3:24">
      <c r="C16" s="19">
        <v>14</v>
      </c>
      <c r="D16" s="46">
        <v>1380000</v>
      </c>
      <c r="E16" s="46">
        <v>617000</v>
      </c>
      <c r="F16" s="46">
        <v>277000</v>
      </c>
      <c r="G16" s="46">
        <v>277000</v>
      </c>
      <c r="H16" s="46">
        <v>1380000</v>
      </c>
      <c r="I16" s="46">
        <v>1380000</v>
      </c>
      <c r="J16" s="46">
        <v>141000</v>
      </c>
      <c r="K16" s="46">
        <v>1380000</v>
      </c>
      <c r="L16" s="46">
        <v>2540000</v>
      </c>
      <c r="M16" s="46">
        <v>84900</v>
      </c>
      <c r="N16" s="46">
        <v>141000</v>
      </c>
      <c r="O16" s="46">
        <v>84900</v>
      </c>
      <c r="P16" s="46">
        <v>21900</v>
      </c>
      <c r="Q16" s="46">
        <v>575</v>
      </c>
      <c r="R16" s="46">
        <v>63700</v>
      </c>
      <c r="S16" s="46">
        <v>141000</v>
      </c>
      <c r="T16" s="46">
        <v>16384</v>
      </c>
      <c r="U16" s="47">
        <v>8192</v>
      </c>
      <c r="V16" s="58">
        <v>15</v>
      </c>
      <c r="W16" s="1" t="s">
        <v>25</v>
      </c>
      <c r="X16" t="s">
        <v>8</v>
      </c>
    </row>
    <row r="17" spans="3:24" ht="19.5" thickBot="1">
      <c r="C17" s="51">
        <v>15</v>
      </c>
      <c r="D17" s="52">
        <v>2080000</v>
      </c>
      <c r="E17" s="52">
        <v>1090000</v>
      </c>
      <c r="F17" s="52">
        <v>416000</v>
      </c>
      <c r="G17" s="52">
        <v>416000</v>
      </c>
      <c r="H17" s="52">
        <v>2080000</v>
      </c>
      <c r="I17" s="52">
        <v>2080000</v>
      </c>
      <c r="J17" s="52">
        <v>250000</v>
      </c>
      <c r="K17" s="52">
        <v>2080000</v>
      </c>
      <c r="L17" s="52">
        <v>4510000</v>
      </c>
      <c r="M17" s="52">
        <v>150000</v>
      </c>
      <c r="N17" s="52">
        <v>250000</v>
      </c>
      <c r="O17" s="52">
        <v>150000</v>
      </c>
      <c r="P17" s="52">
        <v>26900</v>
      </c>
      <c r="Q17" s="52">
        <v>660</v>
      </c>
      <c r="R17" s="52">
        <v>112000</v>
      </c>
      <c r="S17" s="52">
        <v>250000</v>
      </c>
      <c r="T17" s="52">
        <v>32768</v>
      </c>
      <c r="U17" s="53">
        <v>16384</v>
      </c>
      <c r="V17" s="58">
        <v>16</v>
      </c>
      <c r="W17" s="1" t="s">
        <v>23</v>
      </c>
      <c r="X17" t="s">
        <v>1</v>
      </c>
    </row>
    <row r="18" spans="3:24" ht="18.75" customHeight="1" thickTop="1"/>
    <row r="19" spans="3:24">
      <c r="E19" s="49" t="s">
        <v>28</v>
      </c>
      <c r="F19" s="49"/>
      <c r="G19" s="48">
        <v>13</v>
      </c>
      <c r="I19" s="49" t="s">
        <v>12</v>
      </c>
      <c r="J19" s="48">
        <v>7</v>
      </c>
      <c r="K19" s="50">
        <f>INDEX($D$3:$S$17,MATCH($J19,$C$3:$C$17,0),MATCH($G$19,$D$2:$S$2,0))</f>
        <v>750</v>
      </c>
      <c r="M19" s="49" t="s">
        <v>12</v>
      </c>
      <c r="N19" s="48">
        <v>8</v>
      </c>
      <c r="O19" s="50">
        <f>INDEX($D$3:$S$17,MATCH($N19,$C$3:$C$17,0),MATCH($G$19,$D$2:$S$2,0))</f>
        <v>1300</v>
      </c>
      <c r="W19" s="1" t="s">
        <v>48</v>
      </c>
      <c r="X19" t="s">
        <v>28</v>
      </c>
    </row>
    <row r="20" spans="3:24">
      <c r="I20" s="49" t="s">
        <v>13</v>
      </c>
      <c r="J20" s="48">
        <v>7</v>
      </c>
      <c r="K20" s="50">
        <f>INDEX($D$3:$S$17,MATCH($J20,$C$3:$C$17,0),MATCH($G$19,$D$2:$S$2,0))</f>
        <v>750</v>
      </c>
      <c r="M20" s="49" t="s">
        <v>13</v>
      </c>
      <c r="N20" s="48">
        <v>9</v>
      </c>
      <c r="O20" s="50">
        <f>INDEX($D$3:$S$17,MATCH($N20,$C$3:$C$17,0),MATCH($G$19,$D$2:$S$2,0))</f>
        <v>2200</v>
      </c>
      <c r="W20" s="1" t="s">
        <v>42</v>
      </c>
      <c r="X20" t="s">
        <v>37</v>
      </c>
    </row>
    <row r="21" spans="3:24">
      <c r="E21" s="49" t="s">
        <v>29</v>
      </c>
      <c r="F21" s="48" t="s">
        <v>50</v>
      </c>
      <c r="I21" s="49" t="s">
        <v>14</v>
      </c>
      <c r="J21" s="48">
        <v>8</v>
      </c>
      <c r="K21" s="50">
        <f>INDEX($D$3:$S$17,MATCH($J21,$C$3:$C$17,0),MATCH($G$19,$D$2:$S$2,0))</f>
        <v>1300</v>
      </c>
      <c r="M21" s="49" t="s">
        <v>14</v>
      </c>
      <c r="N21" s="48">
        <v>9</v>
      </c>
      <c r="O21" s="50">
        <f>INDEX($D$3:$S$17,MATCH($N21,$C$3:$C$17,0),MATCH($G$19,$D$2:$S$2,0))</f>
        <v>2200</v>
      </c>
      <c r="W21" s="1" t="s">
        <v>43</v>
      </c>
      <c r="X21" t="s">
        <v>38</v>
      </c>
    </row>
    <row r="22" spans="3:24">
      <c r="J22" s="49" t="s">
        <v>11</v>
      </c>
      <c r="K22" s="54">
        <f>SUM(K19:K21)</f>
        <v>2800</v>
      </c>
      <c r="N22" s="49" t="s">
        <v>11</v>
      </c>
      <c r="O22" s="54">
        <f>SUM(O19:O21)</f>
        <v>5700</v>
      </c>
      <c r="W22" s="1" t="s">
        <v>44</v>
      </c>
      <c r="X22" t="s">
        <v>39</v>
      </c>
    </row>
    <row r="23" spans="3:24">
      <c r="E23" t="s">
        <v>49</v>
      </c>
      <c r="W23" s="1" t="s">
        <v>45</v>
      </c>
      <c r="X23" t="s">
        <v>40</v>
      </c>
    </row>
    <row r="24" spans="3:24">
      <c r="E24" t="s">
        <v>47</v>
      </c>
      <c r="W24" s="1" t="s">
        <v>46</v>
      </c>
      <c r="X24" t="s">
        <v>41</v>
      </c>
    </row>
  </sheetData>
  <phoneticPr fontId="2"/>
  <dataValidations count="1">
    <dataValidation type="list" allowBlank="1" showInputMessage="1" showErrorMessage="1" sqref="G19" xr:uid="{3067D6DD-CB8E-4C56-B540-0534B58352AC}">
      <formula1>$D$2:$S$2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haruko</dc:creator>
  <cp:lastModifiedBy>haruko</cp:lastModifiedBy>
  <dcterms:created xsi:type="dcterms:W3CDTF">2015-06-05T18:19:34Z</dcterms:created>
  <dcterms:modified xsi:type="dcterms:W3CDTF">2023-01-09T14:47:37Z</dcterms:modified>
</cp:coreProperties>
</file>